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6" sheetId="1" r:id="rId5"/>
  </sheets>
  <definedNames/>
  <calcPr/>
</workbook>
</file>

<file path=xl/sharedStrings.xml><?xml version="1.0" encoding="utf-8"?>
<sst xmlns="http://schemas.openxmlformats.org/spreadsheetml/2006/main" count="39" uniqueCount="27">
  <si>
    <t xml:space="preserve">Dossier :    ERROUISSI Ettaher                           A6 </t>
  </si>
  <si>
    <t>BOA :  Yolande KANYALA</t>
  </si>
  <si>
    <t>A6 - Envoyer un mail de relance au centre instructeur après la demande de solde</t>
  </si>
  <si>
    <r>
      <rPr>
        <rFont val="Arial"/>
        <b/>
        <color theme="1"/>
      </rPr>
      <t xml:space="preserve">OK / KO 
</t>
    </r>
    <r>
      <rPr>
        <rFont val="Arial"/>
        <b/>
        <color rgb="FFFF0000"/>
      </rPr>
      <t>à compléter</t>
    </r>
  </si>
  <si>
    <t xml:space="preserve">Comment vérifier ? </t>
  </si>
  <si>
    <t>Pondération</t>
  </si>
  <si>
    <t>Évaluation 
- AUTO -</t>
  </si>
  <si>
    <t xml:space="preserve">Commentaires sur les erreurs </t>
  </si>
  <si>
    <t>Vérifier les derniers mails reçus concernant ce particulier dans les archives</t>
  </si>
  <si>
    <t>OK</t>
  </si>
  <si>
    <t>Le dernier mail devrait normalement être l'accusé de réception de l'Anah, sinon il faut voir ce qui a été fait pour ce dossier</t>
  </si>
  <si>
    <t>Le statut sur Mon projet ANAH n'est pas indiqué comme "solde payé"</t>
  </si>
  <si>
    <t>Information sur MonprojetANAH</t>
  </si>
  <si>
    <t>Le particulier est de catégorie de revenus modeste ou très modeste</t>
  </si>
  <si>
    <t xml:space="preserve">Information sur Ecair </t>
  </si>
  <si>
    <t>L'email de l'instructeur ou de la collectivité délégataire a bien été saisie en tant que destinataire</t>
  </si>
  <si>
    <t>L'email est bien envoyé depuis maprimerenov@ecair.eco</t>
  </si>
  <si>
    <t>maprimerenov@ecair.eco est bien en CC du mail</t>
  </si>
  <si>
    <t>Le sujet du mail à la bonne formulation</t>
  </si>
  <si>
    <t>Le nom et le prénom du particulier sont correctement orthographiés</t>
  </si>
  <si>
    <t>La référence du dossier est correcte</t>
  </si>
  <si>
    <t>Information sur MonprojetANAH et sur Ecair</t>
  </si>
  <si>
    <t>La date de la demande de solde est correcte</t>
  </si>
  <si>
    <t>La date est celle mentionné dans l'email d'accusé de réception de l'Anah ou sur le site Mon Projet Anah (dâte de dépôt)</t>
  </si>
  <si>
    <t xml:space="preserve">La signature ECAIR du BOA a été ajoutée </t>
  </si>
  <si>
    <t xml:space="preserve">TOTAL </t>
  </si>
  <si>
    <t>Tx satisfaction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</si>
</sst>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i/>
      <color theme="1"/>
      <name val="Arial"/>
      <scheme val="minor"/>
    </font>
    <font>
      <b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center"/>
    </xf>
    <xf borderId="1" fillId="2" fontId="1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readingOrder="0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horizontal="center" vertical="center"/>
    </xf>
    <xf borderId="1" fillId="4" fontId="5" numFmtId="0" xfId="0" applyAlignment="1" applyBorder="1" applyFont="1">
      <alignment readingOrder="0" vertical="center"/>
    </xf>
    <xf borderId="1" fillId="4" fontId="5" numFmtId="0" xfId="0" applyAlignment="1" applyBorder="1" applyFont="1">
      <alignment readingOrder="0" vertical="center"/>
    </xf>
    <xf borderId="1" fillId="5" fontId="6" numFmtId="0" xfId="0" applyAlignment="1" applyBorder="1" applyFill="1" applyFont="1">
      <alignment horizontal="right" vertical="center"/>
    </xf>
    <xf borderId="1" fillId="5" fontId="6" numFmtId="0" xfId="0" applyAlignment="1" applyBorder="1" applyFont="1">
      <alignment horizontal="center" vertical="center"/>
    </xf>
    <xf borderId="1" fillId="5" fontId="6" numFmtId="9" xfId="0" applyAlignment="1" applyBorder="1" applyFont="1" applyNumberFormat="1">
      <alignment horizontal="center" vertical="center"/>
    </xf>
    <xf borderId="0" fillId="6" fontId="3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75"/>
    <col customWidth="1" min="2" max="2" width="17.38"/>
    <col customWidth="1" min="3" max="3" width="57.63"/>
    <col customWidth="1" min="6" max="6" width="32.88"/>
  </cols>
  <sheetData>
    <row r="1">
      <c r="A1" s="1" t="s">
        <v>0</v>
      </c>
      <c r="B1" s="2"/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B2" s="2"/>
      <c r="C2" s="3"/>
      <c r="D2" s="3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10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 t="s">
        <v>8</v>
      </c>
      <c r="B4" s="12" t="s">
        <v>9</v>
      </c>
      <c r="C4" s="13" t="s">
        <v>10</v>
      </c>
      <c r="D4" s="11">
        <v>2.0</v>
      </c>
      <c r="E4" s="14">
        <f t="shared" ref="E4:E14" si="1">IF(B4="OK",D4,IF(B4="KO",0,""))</f>
        <v>2</v>
      </c>
      <c r="F4" s="1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 t="s">
        <v>11</v>
      </c>
      <c r="B5" s="12" t="s">
        <v>9</v>
      </c>
      <c r="C5" s="15" t="s">
        <v>12</v>
      </c>
      <c r="D5" s="11">
        <v>2.0</v>
      </c>
      <c r="E5" s="14">
        <f t="shared" si="1"/>
        <v>2</v>
      </c>
      <c r="F5" s="1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13</v>
      </c>
      <c r="B6" s="12" t="s">
        <v>9</v>
      </c>
      <c r="C6" s="16" t="s">
        <v>14</v>
      </c>
      <c r="D6" s="11">
        <v>2.0</v>
      </c>
      <c r="E6" s="14">
        <f t="shared" si="1"/>
        <v>2</v>
      </c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 t="s">
        <v>15</v>
      </c>
      <c r="B7" s="12" t="s">
        <v>9</v>
      </c>
      <c r="C7" s="15" t="s">
        <v>12</v>
      </c>
      <c r="D7" s="11">
        <v>2.0</v>
      </c>
      <c r="E7" s="14">
        <f t="shared" si="1"/>
        <v>2</v>
      </c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16</v>
      </c>
      <c r="B8" s="12" t="s">
        <v>9</v>
      </c>
      <c r="C8" s="16"/>
      <c r="D8" s="11">
        <v>2.0</v>
      </c>
      <c r="E8" s="14">
        <f t="shared" si="1"/>
        <v>2</v>
      </c>
      <c r="F8" s="10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" t="s">
        <v>17</v>
      </c>
      <c r="B9" s="12" t="s">
        <v>9</v>
      </c>
      <c r="C9" s="16"/>
      <c r="D9" s="11">
        <v>2.0</v>
      </c>
      <c r="E9" s="14">
        <f t="shared" si="1"/>
        <v>2</v>
      </c>
      <c r="F9" s="10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 t="s">
        <v>18</v>
      </c>
      <c r="B10" s="12" t="s">
        <v>9</v>
      </c>
      <c r="C10" s="16"/>
      <c r="D10" s="11">
        <v>2.0</v>
      </c>
      <c r="E10" s="14">
        <f t="shared" si="1"/>
        <v>2</v>
      </c>
      <c r="F10" s="10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 t="s">
        <v>19</v>
      </c>
      <c r="B11" s="12" t="s">
        <v>9</v>
      </c>
      <c r="C11" s="16" t="s">
        <v>14</v>
      </c>
      <c r="D11" s="11">
        <v>2.0</v>
      </c>
      <c r="E11" s="14">
        <f t="shared" si="1"/>
        <v>2</v>
      </c>
      <c r="F11" s="10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1" t="s">
        <v>20</v>
      </c>
      <c r="B12" s="12" t="s">
        <v>9</v>
      </c>
      <c r="C12" s="15" t="s">
        <v>21</v>
      </c>
      <c r="D12" s="11">
        <v>2.0</v>
      </c>
      <c r="E12" s="14">
        <f t="shared" si="1"/>
        <v>2</v>
      </c>
      <c r="F12" s="1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 t="s">
        <v>22</v>
      </c>
      <c r="B13" s="12" t="s">
        <v>9</v>
      </c>
      <c r="C13" s="13" t="s">
        <v>23</v>
      </c>
      <c r="D13" s="11">
        <v>2.0</v>
      </c>
      <c r="E13" s="14">
        <f t="shared" si="1"/>
        <v>2</v>
      </c>
      <c r="F13" s="1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1" t="s">
        <v>24</v>
      </c>
      <c r="B14" s="12" t="s">
        <v>9</v>
      </c>
      <c r="C14" s="16"/>
      <c r="D14" s="11">
        <v>2.0</v>
      </c>
      <c r="E14" s="14">
        <f t="shared" si="1"/>
        <v>2</v>
      </c>
      <c r="F14" s="1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17"/>
      <c r="E15" s="1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17" t="s">
        <v>25</v>
      </c>
      <c r="E16" s="18">
        <f>SUM(E5:E14)</f>
        <v>20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17" t="s">
        <v>26</v>
      </c>
      <c r="E17" s="19">
        <f>SUM(E5:E14)/SUMIF(E5:E14,"&lt;&gt;",D5:D14)</f>
        <v>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0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2">
    <mergeCell ref="B1:E1"/>
    <mergeCell ref="B2:E2"/>
  </mergeCells>
  <drawing r:id="rId1"/>
</worksheet>
</file>
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3  PAC-ACE" sheetId="1" r:id="rId4"/>
    <sheet state="visible" name="M3  PAC-ECE" sheetId="2" r:id="rId5"/>
    <sheet state="visible" name="M3  CVAD" sheetId="3" r:id="rId6"/>
  </sheets>
  <definedNames/>
  <calcPr/>
  <extLst>
    <ext uri="GoogleSheetsCustomDataVersion2">
      <go:sheetsCustomData xmlns:go="http://customooxmlschemas.google.com/" r:id="rId7" roundtripDataChecksum="4uKhlP+wxlVEFQtL+ejLMtP1Zi392UCAUTDoVc4hloU="/>
    </ext>
  </extLst>
</workbook>
</file>

<file path=xl/sharedStrings.xml><?xml version="1.0" encoding="utf-8"?>
<sst xmlns="http://schemas.openxmlformats.org/spreadsheetml/2006/main" count="78" uniqueCount="62">
  <si>
    <t>Dossier :</t>
  </si>
  <si>
    <t xml:space="preserve">BOA : </t>
  </si>
  <si>
    <t>M3 - Vérification Commande COFRAC</t>
  </si>
  <si>
    <r>
      <rPr>
        <rFont val="Arial"/>
        <color theme="1"/>
      </rPr>
      <t xml:space="preserve">OK/KO
</t>
    </r>
    <r>
      <rPr>
        <rFont val="Arial"/>
        <b/>
        <color rgb="FFFF0000"/>
      </rPr>
      <t>à compléter</t>
    </r>
  </si>
  <si>
    <t>Pondération</t>
  </si>
  <si>
    <t>Évaluation 
- AUTO -</t>
  </si>
  <si>
    <t>Commentaire sur les erreurs</t>
  </si>
  <si>
    <t>PAC contrôle obligatoire (PAC SEULE) avec ACE</t>
  </si>
  <si>
    <t>VOTRE SOCIETE</t>
  </si>
  <si>
    <t>Le code d'identification a été correctement indiqué</t>
  </si>
  <si>
    <t>Le SIRET de MRA GROUPE a été correctement indiqué</t>
  </si>
  <si>
    <t>L'adresse mail des csm a été correctement indiqué</t>
  </si>
  <si>
    <t>Les informations de contact pour suivre la visite (nom, prénom, téléphone, mail) ont été correctement indiquées</t>
  </si>
  <si>
    <t>BENEFICIAIRE DES TRAVAUX</t>
  </si>
  <si>
    <t>La raison sociale et le SIRET du professionnel a été correctement indiqué</t>
  </si>
  <si>
    <t>Le siège sociale du professionnel a été correctement indiqué</t>
  </si>
  <si>
    <t>Les informations de contact du particulier (nom, prénom, téléphone, mail) ont été correctement indiquées</t>
  </si>
  <si>
    <t>Si sous-traitant : la case "travaux réalisés par un sous-traitant" a été correctement cochée</t>
  </si>
  <si>
    <t xml:space="preserve">Si sous-traitant, les informations du sous-traitant (raison sociale, siret) </t>
  </si>
  <si>
    <t>DOSSIER DOCUMENTAIRE</t>
  </si>
  <si>
    <t>Le devis a été correctement joint au formulaire</t>
  </si>
  <si>
    <t>La facture a été correctement jointe au formulaire</t>
  </si>
  <si>
    <t>La NDD a été correctement jointe au formulaire</t>
  </si>
  <si>
    <t>Le CC a été correctement joint au formulaire</t>
  </si>
  <si>
    <t>L'AH a été correctement jointe au formulaire</t>
  </si>
  <si>
    <t>TRAVAUX A CONTROLER</t>
  </si>
  <si>
    <t>La date d'engagement a été correctement indiquée</t>
  </si>
  <si>
    <t>La date de la facture a été correctement indiquée</t>
  </si>
  <si>
    <t>Le montant total des CEE a été correctement indiqué</t>
  </si>
  <si>
    <t>Le nombre d'opération a été correctement indiqué</t>
  </si>
  <si>
    <t>La BAR TH 171 PAC Air/Eau a été selectionnée</t>
  </si>
  <si>
    <t>"maison" a été indiquée comme nom de site</t>
  </si>
  <si>
    <t>L'adresse du chantier a été correctement indiquée</t>
  </si>
  <si>
    <t>FICHIER COMMANDE COFRAC</t>
  </si>
  <si>
    <t>La commande a été ajoutée au fichier de suivi de commandes cofrac</t>
  </si>
  <si>
    <t xml:space="preserve">TOTAL </t>
  </si>
  <si>
    <t>Tx satisfaction</t>
  </si>
  <si>
    <r>
      <rPr>
        <rFont val="Arial"/>
        <color theme="1"/>
      </rPr>
      <t xml:space="preserve">OK/KO
</t>
    </r>
    <r>
      <rPr>
        <rFont val="Arial"/>
        <b/>
        <color rgb="FFFF0000"/>
      </rPr>
      <t>à compléter</t>
    </r>
  </si>
  <si>
    <t>PAC contrôle volontaire (PAC+SSC) avec ECE</t>
  </si>
  <si>
    <t>La bonne plateforme a été sélectionnée pour cette commande</t>
  </si>
  <si>
    <t>Le nom et prénom ont été correctement indiqués</t>
  </si>
  <si>
    <t>Les informations de contact (téléphone, mail) ont été correctement indiquées</t>
  </si>
  <si>
    <t>Le type d’inspection "BAR TH 171" a été correctement selectionné</t>
  </si>
  <si>
    <t>le mandataire a été indiqué comme "ACE ENERGIE"</t>
  </si>
  <si>
    <t>La référence de la commande a été correctement indiquée</t>
  </si>
  <si>
    <t>Le nom de l'installateur a été correctement indiqué</t>
  </si>
  <si>
    <t>La facture, le devis, la NDD et le CC ont été ajoutés au formulaire</t>
  </si>
  <si>
    <t>Le message suivant a été indiqué en note "Il s'agit d'un contrôle obligatoire"</t>
  </si>
  <si>
    <t>M3 - Vérification Commande COFRAC (CVAD)</t>
  </si>
  <si>
    <r>
      <rPr>
        <rFont val="Arial"/>
        <color theme="1"/>
      </rPr>
      <t xml:space="preserve">OK/KO/NA
</t>
    </r>
    <r>
      <rPr>
        <rFont val="Arial"/>
        <b/>
        <color rgb="FFFF0000"/>
      </rPr>
      <t>à compléter</t>
    </r>
  </si>
  <si>
    <t xml:space="preserve">CVAD pour SSC avec Welcome sur Spekty </t>
  </si>
  <si>
    <t xml:space="preserve">La référence de l'opération correspond bien au nom du client qui apparait sur la facture </t>
  </si>
  <si>
    <t xml:space="preserve">Le nom du professionnel est le même que sur la facture </t>
  </si>
  <si>
    <t xml:space="preserve">Le numéro de Siret du professionnel correspond à celui présent sur la facture </t>
  </si>
  <si>
    <t xml:space="preserve">Le sous-traitant (s'il y en a un) est indiqué comme sur la facture </t>
  </si>
  <si>
    <t xml:space="preserve">Le numéro de Siret du sous-traitant correspond à celui de la facture </t>
  </si>
  <si>
    <t xml:space="preserve">Le nom et prénom du client sont identiques à la facture et carte d'identité </t>
  </si>
  <si>
    <t xml:space="preserve">L'adresse où sont réalisés les travaux du particulier est la même que sur la facture </t>
  </si>
  <si>
    <t>Le numéro de téléphone correspond à celui sur la facture et/ou sur Ecair</t>
  </si>
  <si>
    <t>Le mail correspond à celui sur la facture et/ou sur Ecair</t>
  </si>
  <si>
    <t>Les informations du SSC sont identiques à la facture (Marque, modèle, volume du ballon)</t>
  </si>
  <si>
    <t>La commande a été ajoutée au fichier de suivi de commandes cofrac / CVAD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</si>
</sst>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</font>
    <font>
      <b/>
      <color theme="1"/>
      <name val="Arial"/>
    </font>
    <font/>
    <font>
      <color theme="1"/>
      <name val="Arial"/>
      <scheme val="minor"/>
    </font>
    <font>
      <b/>
      <color rgb="FFFFFF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left" shrinkToFit="0" vertical="center" wrapText="1"/>
    </xf>
    <xf borderId="1" fillId="3" fontId="3" numFmtId="0" xfId="0" applyAlignment="1" applyBorder="1" applyFill="1" applyFont="1">
      <alignment horizontal="center" shrinkToFit="0" wrapText="1"/>
    </xf>
    <xf borderId="1" fillId="4" fontId="4" numFmtId="0" xfId="0" applyAlignment="1" applyBorder="1" applyFill="1" applyFont="1">
      <alignment horizontal="center" vertical="bottom"/>
    </xf>
    <xf borderId="1" fillId="4" fontId="4" numFmtId="0" xfId="0" applyAlignment="1" applyBorder="1" applyFont="1">
      <alignment horizontal="center" readingOrder="0" shrinkToFit="0" vertical="bottom" wrapText="1"/>
    </xf>
    <xf borderId="2" fillId="5" fontId="1" numFmtId="0" xfId="0" applyAlignment="1" applyBorder="1" applyFill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2" fillId="6" fontId="4" numFmtId="0" xfId="0" applyBorder="1" applyFill="1" applyFont="1"/>
    <xf borderId="1" fillId="0" fontId="3" numFmtId="0" xfId="0" applyBorder="1" applyFont="1"/>
    <xf borderId="1" fillId="0" fontId="6" numFmtId="0" xfId="0" applyBorder="1" applyFont="1"/>
    <xf borderId="1" fillId="7" fontId="3" numFmtId="0" xfId="0" applyBorder="1" applyFill="1" applyFont="1"/>
    <xf borderId="1" fillId="8" fontId="7" numFmtId="0" xfId="0" applyAlignment="1" applyBorder="1" applyFill="1" applyFont="1">
      <alignment horizontal="right" vertical="bottom"/>
    </xf>
    <xf borderId="1" fillId="8" fontId="7" numFmtId="0" xfId="0" applyAlignment="1" applyBorder="1" applyFont="1">
      <alignment horizontal="center" vertical="bottom"/>
    </xf>
    <xf borderId="1" fillId="8" fontId="7" numFmtId="9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4.13"/>
    <col customWidth="1" min="2" max="2" width="18.5"/>
  </cols>
  <sheetData>
    <row r="1">
      <c r="A1" s="1" t="s">
        <v>0</v>
      </c>
      <c r="B1" s="2"/>
    </row>
    <row r="2">
      <c r="A2" s="1" t="s">
        <v>1</v>
      </c>
      <c r="B2" s="2"/>
    </row>
    <row r="3">
      <c r="A3" s="3" t="s">
        <v>2</v>
      </c>
      <c r="B3" s="4" t="s">
        <v>3</v>
      </c>
      <c r="C3" s="5" t="s">
        <v>4</v>
      </c>
      <c r="D3" s="5" t="s">
        <v>5</v>
      </c>
      <c r="E3" s="6" t="s">
        <v>6</v>
      </c>
    </row>
    <row r="4">
      <c r="A4" s="7" t="s">
        <v>7</v>
      </c>
      <c r="B4" s="8"/>
      <c r="C4" s="8"/>
      <c r="D4" s="8"/>
      <c r="E4" s="9"/>
    </row>
    <row r="5">
      <c r="A5" s="10" t="s">
        <v>8</v>
      </c>
      <c r="B5" s="8"/>
      <c r="C5" s="8"/>
      <c r="D5" s="8"/>
      <c r="E5" s="9"/>
    </row>
    <row r="6">
      <c r="A6" s="11" t="s">
        <v>9</v>
      </c>
      <c r="B6" s="11"/>
      <c r="C6" s="11">
        <v>1.0</v>
      </c>
      <c r="D6" s="11">
        <f t="shared" ref="D6:D9" si="1">IF(B6="OK",C6,0)</f>
        <v>0</v>
      </c>
      <c r="E6" s="12"/>
    </row>
    <row r="7">
      <c r="A7" s="11" t="s">
        <v>10</v>
      </c>
      <c r="B7" s="11"/>
      <c r="C7" s="11">
        <v>1.0</v>
      </c>
      <c r="D7" s="11">
        <f t="shared" si="1"/>
        <v>0</v>
      </c>
      <c r="E7" s="12"/>
    </row>
    <row r="8">
      <c r="A8" s="11" t="s">
        <v>11</v>
      </c>
      <c r="B8" s="11"/>
      <c r="C8" s="11">
        <v>1.0</v>
      </c>
      <c r="D8" s="11">
        <f t="shared" si="1"/>
        <v>0</v>
      </c>
      <c r="E8" s="12"/>
    </row>
    <row r="9">
      <c r="A9" s="11" t="s">
        <v>12</v>
      </c>
      <c r="B9" s="11"/>
      <c r="C9" s="11">
        <v>1.0</v>
      </c>
      <c r="D9" s="11">
        <f t="shared" si="1"/>
        <v>0</v>
      </c>
      <c r="E9" s="12"/>
    </row>
    <row r="10">
      <c r="A10" s="10" t="s">
        <v>13</v>
      </c>
      <c r="B10" s="8"/>
      <c r="C10" s="8"/>
      <c r="D10" s="8"/>
      <c r="E10" s="9"/>
    </row>
    <row r="11">
      <c r="A11" s="11" t="s">
        <v>14</v>
      </c>
      <c r="B11" s="11"/>
      <c r="C11" s="11">
        <v>1.0</v>
      </c>
      <c r="D11" s="11">
        <f t="shared" ref="D11:D15" si="2">IF(B11="OK",C11,0)</f>
        <v>0</v>
      </c>
      <c r="E11" s="12"/>
    </row>
    <row r="12">
      <c r="A12" s="11" t="s">
        <v>15</v>
      </c>
      <c r="B12" s="11"/>
      <c r="C12" s="11">
        <v>1.0</v>
      </c>
      <c r="D12" s="11">
        <f t="shared" si="2"/>
        <v>0</v>
      </c>
      <c r="E12" s="12"/>
    </row>
    <row r="13">
      <c r="A13" s="11" t="s">
        <v>16</v>
      </c>
      <c r="B13" s="11"/>
      <c r="C13" s="11">
        <v>1.0</v>
      </c>
      <c r="D13" s="11">
        <f t="shared" si="2"/>
        <v>0</v>
      </c>
      <c r="E13" s="12"/>
    </row>
    <row r="14">
      <c r="A14" s="11" t="s">
        <v>17</v>
      </c>
      <c r="B14" s="11"/>
      <c r="C14" s="11">
        <v>1.0</v>
      </c>
      <c r="D14" s="11">
        <f t="shared" si="2"/>
        <v>0</v>
      </c>
      <c r="E14" s="12"/>
    </row>
    <row r="15">
      <c r="A15" s="11" t="s">
        <v>18</v>
      </c>
      <c r="B15" s="11"/>
      <c r="C15" s="11">
        <v>1.0</v>
      </c>
      <c r="D15" s="11">
        <f t="shared" si="2"/>
        <v>0</v>
      </c>
      <c r="E15" s="12"/>
    </row>
    <row r="16">
      <c r="A16" s="10" t="s">
        <v>19</v>
      </c>
      <c r="B16" s="8"/>
      <c r="C16" s="8"/>
      <c r="D16" s="8"/>
      <c r="E16" s="9"/>
    </row>
    <row r="17">
      <c r="A17" s="11" t="s">
        <v>20</v>
      </c>
      <c r="B17" s="11"/>
      <c r="C17" s="11">
        <v>1.0</v>
      </c>
      <c r="D17" s="11">
        <f t="shared" ref="D17:D21" si="3">IF(B17="OK",C17,0)</f>
        <v>0</v>
      </c>
      <c r="E17" s="12"/>
    </row>
    <row r="18">
      <c r="A18" s="11" t="s">
        <v>21</v>
      </c>
      <c r="B18" s="11"/>
      <c r="C18" s="11">
        <v>1.0</v>
      </c>
      <c r="D18" s="11">
        <f t="shared" si="3"/>
        <v>0</v>
      </c>
      <c r="E18" s="12"/>
    </row>
    <row r="19">
      <c r="A19" s="11" t="s">
        <v>22</v>
      </c>
      <c r="B19" s="11"/>
      <c r="C19" s="11">
        <v>1.0</v>
      </c>
      <c r="D19" s="11">
        <f t="shared" si="3"/>
        <v>0</v>
      </c>
      <c r="E19" s="12"/>
    </row>
    <row r="20">
      <c r="A20" s="11" t="s">
        <v>23</v>
      </c>
      <c r="B20" s="11"/>
      <c r="C20" s="11">
        <v>1.0</v>
      </c>
      <c r="D20" s="11">
        <f t="shared" si="3"/>
        <v>0</v>
      </c>
      <c r="E20" s="12"/>
    </row>
    <row r="21">
      <c r="A21" s="11" t="s">
        <v>24</v>
      </c>
      <c r="B21" s="11"/>
      <c r="C21" s="11">
        <v>1.0</v>
      </c>
      <c r="D21" s="11">
        <f t="shared" si="3"/>
        <v>0</v>
      </c>
      <c r="E21" s="12"/>
    </row>
    <row r="22">
      <c r="A22" s="10" t="s">
        <v>25</v>
      </c>
      <c r="B22" s="8"/>
      <c r="C22" s="8"/>
      <c r="D22" s="8"/>
      <c r="E22" s="9"/>
    </row>
    <row r="23">
      <c r="A23" s="11" t="s">
        <v>26</v>
      </c>
      <c r="B23" s="11"/>
      <c r="C23" s="11">
        <v>1.0</v>
      </c>
      <c r="D23" s="11">
        <f t="shared" ref="D23:D29" si="4">IF(B23="OK",C23,0)</f>
        <v>0</v>
      </c>
      <c r="E23" s="12"/>
    </row>
    <row r="24">
      <c r="A24" s="11" t="s">
        <v>27</v>
      </c>
      <c r="B24" s="11"/>
      <c r="C24" s="11">
        <v>1.0</v>
      </c>
      <c r="D24" s="11">
        <f t="shared" si="4"/>
        <v>0</v>
      </c>
      <c r="E24" s="12"/>
    </row>
    <row r="25">
      <c r="A25" s="11" t="s">
        <v>28</v>
      </c>
      <c r="B25" s="11"/>
      <c r="C25" s="11">
        <v>1.0</v>
      </c>
      <c r="D25" s="11">
        <f t="shared" si="4"/>
        <v>0</v>
      </c>
      <c r="E25" s="12"/>
    </row>
    <row r="26">
      <c r="A26" s="11" t="s">
        <v>29</v>
      </c>
      <c r="B26" s="11"/>
      <c r="C26" s="11">
        <v>1.0</v>
      </c>
      <c r="D26" s="11">
        <f t="shared" si="4"/>
        <v>0</v>
      </c>
      <c r="E26" s="12"/>
    </row>
    <row r="27">
      <c r="A27" s="11" t="s">
        <v>30</v>
      </c>
      <c r="B27" s="11"/>
      <c r="C27" s="11">
        <v>1.0</v>
      </c>
      <c r="D27" s="11">
        <f t="shared" si="4"/>
        <v>0</v>
      </c>
      <c r="E27" s="12"/>
    </row>
    <row r="28">
      <c r="A28" s="11" t="s">
        <v>31</v>
      </c>
      <c r="B28" s="11"/>
      <c r="C28" s="11">
        <v>1.0</v>
      </c>
      <c r="D28" s="11">
        <f t="shared" si="4"/>
        <v>0</v>
      </c>
      <c r="E28" s="12"/>
    </row>
    <row r="29">
      <c r="A29" s="11" t="s">
        <v>32</v>
      </c>
      <c r="B29" s="11"/>
      <c r="C29" s="11">
        <v>1.0</v>
      </c>
      <c r="D29" s="11">
        <f t="shared" si="4"/>
        <v>0</v>
      </c>
      <c r="E29" s="12"/>
    </row>
    <row r="30">
      <c r="A30" s="10" t="s">
        <v>33</v>
      </c>
      <c r="B30" s="8"/>
      <c r="C30" s="8"/>
      <c r="D30" s="8"/>
      <c r="E30" s="9"/>
    </row>
    <row r="31">
      <c r="A31" s="13" t="s">
        <v>34</v>
      </c>
      <c r="B31" s="11"/>
      <c r="C31" s="11">
        <v>1.0</v>
      </c>
      <c r="D31" s="11">
        <f>IF(B31="OK",C31,0)</f>
        <v>0</v>
      </c>
      <c r="E31" s="12"/>
    </row>
    <row r="32">
      <c r="C32" s="14" t="s">
        <v>35</v>
      </c>
      <c r="D32" s="15">
        <f>SUM(D6:D31)</f>
        <v>0</v>
      </c>
    </row>
    <row r="33">
      <c r="C33" s="14" t="s">
        <v>36</v>
      </c>
      <c r="D33" s="16">
        <f>D32/SUM(C6:C31)</f>
        <v>0</v>
      </c>
    </row>
  </sheetData>
  <mergeCells count="6">
    <mergeCell ref="A4:E4"/>
    <mergeCell ref="A5:E5"/>
    <mergeCell ref="A10:E10"/>
    <mergeCell ref="A16:E16"/>
    <mergeCell ref="A22:E22"/>
    <mergeCell ref="A30:E3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7.63"/>
  </cols>
  <sheetData>
    <row r="1">
      <c r="A1" s="1" t="s">
        <v>0</v>
      </c>
      <c r="B1" s="2"/>
    </row>
    <row r="2">
      <c r="A2" s="1" t="s">
        <v>1</v>
      </c>
      <c r="B2" s="2"/>
    </row>
    <row r="3">
      <c r="A3" s="3" t="s">
        <v>2</v>
      </c>
      <c r="B3" s="4" t="s">
        <v>37</v>
      </c>
      <c r="C3" s="5" t="s">
        <v>4</v>
      </c>
      <c r="D3" s="5" t="s">
        <v>5</v>
      </c>
    </row>
    <row r="4">
      <c r="A4" s="7" t="s">
        <v>38</v>
      </c>
      <c r="B4" s="8"/>
      <c r="C4" s="8"/>
      <c r="D4" s="9"/>
    </row>
    <row r="5">
      <c r="A5" s="11" t="s">
        <v>39</v>
      </c>
      <c r="B5" s="11"/>
      <c r="C5" s="11">
        <v>1.0</v>
      </c>
      <c r="D5" s="11">
        <f t="shared" ref="D5:D15" si="1">IF(B5="OK",C5,0)</f>
        <v>0</v>
      </c>
    </row>
    <row r="6">
      <c r="A6" s="13" t="s">
        <v>40</v>
      </c>
      <c r="B6" s="11"/>
      <c r="C6" s="11">
        <v>1.0</v>
      </c>
      <c r="D6" s="11">
        <f t="shared" si="1"/>
        <v>0</v>
      </c>
    </row>
    <row r="7">
      <c r="A7" s="13" t="s">
        <v>32</v>
      </c>
      <c r="B7" s="11"/>
      <c r="C7" s="11">
        <v>1.0</v>
      </c>
      <c r="D7" s="11">
        <f t="shared" si="1"/>
        <v>0</v>
      </c>
    </row>
    <row r="8">
      <c r="A8" s="13" t="s">
        <v>41</v>
      </c>
      <c r="B8" s="11"/>
      <c r="C8" s="11">
        <v>1.0</v>
      </c>
      <c r="D8" s="11">
        <f t="shared" si="1"/>
        <v>0</v>
      </c>
    </row>
    <row r="9">
      <c r="A9" s="11" t="s">
        <v>42</v>
      </c>
      <c r="B9" s="11"/>
      <c r="C9" s="11">
        <v>1.0</v>
      </c>
      <c r="D9" s="11">
        <f t="shared" si="1"/>
        <v>0</v>
      </c>
    </row>
    <row r="10">
      <c r="A10" s="11" t="s">
        <v>43</v>
      </c>
      <c r="B10" s="11"/>
      <c r="C10" s="11">
        <v>1.0</v>
      </c>
      <c r="D10" s="11">
        <f t="shared" si="1"/>
        <v>0</v>
      </c>
    </row>
    <row r="11">
      <c r="A11" s="11" t="s">
        <v>44</v>
      </c>
      <c r="B11" s="11"/>
      <c r="C11" s="11">
        <v>1.0</v>
      </c>
      <c r="D11" s="11">
        <f t="shared" si="1"/>
        <v>0</v>
      </c>
    </row>
    <row r="12">
      <c r="A12" s="17" t="s">
        <v>45</v>
      </c>
      <c r="B12" s="11"/>
      <c r="C12" s="11">
        <v>1.0</v>
      </c>
      <c r="D12" s="11">
        <f t="shared" si="1"/>
        <v>0</v>
      </c>
    </row>
    <row r="13">
      <c r="A13" s="17" t="s">
        <v>46</v>
      </c>
      <c r="B13" s="11"/>
      <c r="C13" s="11">
        <v>1.0</v>
      </c>
      <c r="D13" s="11">
        <f t="shared" si="1"/>
        <v>0</v>
      </c>
    </row>
    <row r="14">
      <c r="A14" s="11" t="s">
        <v>47</v>
      </c>
      <c r="B14" s="11"/>
      <c r="C14" s="11">
        <v>1.0</v>
      </c>
      <c r="D14" s="11">
        <f t="shared" si="1"/>
        <v>0</v>
      </c>
    </row>
    <row r="15">
      <c r="A15" s="13" t="s">
        <v>34</v>
      </c>
      <c r="B15" s="11"/>
      <c r="C15" s="11">
        <v>1.0</v>
      </c>
      <c r="D15" s="11">
        <f t="shared" si="1"/>
        <v>0</v>
      </c>
    </row>
    <row r="16">
      <c r="C16" s="14" t="s">
        <v>35</v>
      </c>
      <c r="D16" s="15">
        <f>SUM(D5:D15)</f>
        <v>0</v>
      </c>
    </row>
    <row r="17">
      <c r="C17" s="14" t="s">
        <v>36</v>
      </c>
      <c r="D17" s="16">
        <f>D16/SUM(C5:C15)</f>
        <v>0</v>
      </c>
    </row>
  </sheetData>
  <mergeCells count="1">
    <mergeCell ref="A4:D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4.75"/>
  </cols>
  <sheetData>
    <row r="1">
      <c r="A1" s="1" t="s">
        <v>0</v>
      </c>
      <c r="B1" s="2"/>
    </row>
    <row r="2">
      <c r="A2" s="1" t="s">
        <v>1</v>
      </c>
      <c r="B2" s="2"/>
    </row>
    <row r="3">
      <c r="A3" s="3" t="s">
        <v>48</v>
      </c>
      <c r="B3" s="4" t="s">
        <v>49</v>
      </c>
      <c r="C3" s="5" t="s">
        <v>4</v>
      </c>
      <c r="D3" s="5" t="s">
        <v>5</v>
      </c>
    </row>
    <row r="4">
      <c r="A4" s="7" t="s">
        <v>50</v>
      </c>
      <c r="B4" s="8"/>
      <c r="C4" s="8"/>
      <c r="D4" s="9"/>
    </row>
    <row r="5">
      <c r="A5" s="11" t="s">
        <v>51</v>
      </c>
      <c r="B5" s="11"/>
      <c r="C5" s="11">
        <v>1.0</v>
      </c>
      <c r="D5" s="11">
        <f t="shared" ref="D5:D16" si="1">IF(B5="OK",C5,0)</f>
        <v>0</v>
      </c>
    </row>
    <row r="6">
      <c r="A6" s="13" t="s">
        <v>52</v>
      </c>
      <c r="B6" s="11"/>
      <c r="C6" s="11">
        <v>1.0</v>
      </c>
      <c r="D6" s="11">
        <f t="shared" si="1"/>
        <v>0</v>
      </c>
    </row>
    <row r="7">
      <c r="A7" s="13" t="s">
        <v>53</v>
      </c>
      <c r="B7" s="11"/>
      <c r="C7" s="11">
        <v>1.0</v>
      </c>
      <c r="D7" s="11">
        <f t="shared" si="1"/>
        <v>0</v>
      </c>
    </row>
    <row r="8">
      <c r="A8" s="11" t="s">
        <v>54</v>
      </c>
      <c r="B8" s="11"/>
      <c r="C8" s="11">
        <v>1.0</v>
      </c>
      <c r="D8" s="11">
        <f t="shared" si="1"/>
        <v>0</v>
      </c>
    </row>
    <row r="9">
      <c r="A9" s="11" t="s">
        <v>26</v>
      </c>
      <c r="B9" s="11"/>
      <c r="C9" s="11">
        <v>1.0</v>
      </c>
      <c r="D9" s="11">
        <f t="shared" si="1"/>
        <v>0</v>
      </c>
    </row>
    <row r="10">
      <c r="A10" s="11" t="s">
        <v>55</v>
      </c>
      <c r="B10" s="11"/>
      <c r="C10" s="11">
        <v>1.0</v>
      </c>
      <c r="D10" s="11">
        <f t="shared" si="1"/>
        <v>0</v>
      </c>
    </row>
    <row r="11">
      <c r="A11" s="11" t="s">
        <v>56</v>
      </c>
      <c r="B11" s="11"/>
      <c r="C11" s="11">
        <v>1.0</v>
      </c>
      <c r="D11" s="11">
        <f t="shared" si="1"/>
        <v>0</v>
      </c>
    </row>
    <row r="12">
      <c r="A12" s="11" t="s">
        <v>57</v>
      </c>
      <c r="B12" s="11"/>
      <c r="C12" s="11">
        <v>1.0</v>
      </c>
      <c r="D12" s="11">
        <f t="shared" si="1"/>
        <v>0</v>
      </c>
    </row>
    <row r="13">
      <c r="A13" s="13" t="s">
        <v>58</v>
      </c>
      <c r="B13" s="11"/>
      <c r="C13" s="11">
        <v>1.0</v>
      </c>
      <c r="D13" s="11">
        <f t="shared" si="1"/>
        <v>0</v>
      </c>
    </row>
    <row r="14">
      <c r="A14" s="13" t="s">
        <v>59</v>
      </c>
      <c r="B14" s="11"/>
      <c r="C14" s="11">
        <v>1.0</v>
      </c>
      <c r="D14" s="11">
        <f t="shared" si="1"/>
        <v>0</v>
      </c>
    </row>
    <row r="15">
      <c r="A15" s="11" t="s">
        <v>60</v>
      </c>
      <c r="B15" s="11"/>
      <c r="C15" s="11">
        <v>1.0</v>
      </c>
      <c r="D15" s="11">
        <f t="shared" si="1"/>
        <v>0</v>
      </c>
    </row>
    <row r="16">
      <c r="A16" s="13" t="s">
        <v>61</v>
      </c>
      <c r="B16" s="11"/>
      <c r="C16" s="11">
        <v>1.0</v>
      </c>
      <c r="D16" s="11">
        <f t="shared" si="1"/>
        <v>0</v>
      </c>
    </row>
    <row r="17">
      <c r="C17" s="14" t="s">
        <v>35</v>
      </c>
      <c r="D17" s="15">
        <f>SUM(D5:D16)</f>
        <v>0</v>
      </c>
    </row>
    <row r="18">
      <c r="C18" s="14" t="s">
        <v>36</v>
      </c>
      <c r="D18" s="16">
        <f>D17/SUM(C5:C16)</f>
        <v>0</v>
      </c>
    </row>
  </sheetData>
  <mergeCells count="1">
    <mergeCell ref="A4:D4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2022-06-30T15:22:08Z</dcterms:created>
  <dc:creator>GOISLOT Damien</dc:creator>
</cp:coreProperties>
</file>